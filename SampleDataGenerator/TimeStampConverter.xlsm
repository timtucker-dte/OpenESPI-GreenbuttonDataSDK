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5" windowWidth="10140" windowHeight="10170" activeTab="1"/>
  </bookViews>
  <sheets>
    <sheet name="Overview" sheetId="1" r:id="rId1"/>
    <sheet name="UnviersalTimeDataConverter" sheetId="2" r:id="rId2"/>
    <sheet name="Sheet3" sheetId="3" r:id="rId3"/>
  </sheets>
  <functionGroups builtInGroupCount="17"/>
  <calcPr calcId="145621"/>
</workbook>
</file>

<file path=xl/calcChain.xml><?xml version="1.0" encoding="utf-8"?>
<calcChain xmlns="http://schemas.openxmlformats.org/spreadsheetml/2006/main">
  <c r="D16" i="2" l="1"/>
  <c r="B1" i="2"/>
  <c r="D20" i="2"/>
  <c r="D19" i="2"/>
  <c r="D17" i="2"/>
  <c r="C21" i="2"/>
  <c r="B11" i="2"/>
  <c r="B10" i="2"/>
  <c r="B12" i="2"/>
  <c r="C22" i="2"/>
  <c r="B9" i="2" l="1"/>
  <c r="D21" i="2"/>
  <c r="D22" i="2"/>
</calcChain>
</file>

<file path=xl/sharedStrings.xml><?xml version="1.0" encoding="utf-8"?>
<sst xmlns="http://schemas.openxmlformats.org/spreadsheetml/2006/main" count="40" uniqueCount="40">
  <si>
    <t>Time Tester for Green Button Based on LocalTimeParamters</t>
  </si>
  <si>
    <t>Authors: Marty Burns, Ron Pasquarelli</t>
  </si>
  <si>
    <t xml:space="preserve">This spreadsheet is designed to generate allow for timestamp test cases for Green Button Data. 
To use this tool, inspect the LocalTimeParameters Resource and enter the values into the DSTRuleCalculator tab.
Copy and Paste the timestamp from XML Green Button File to test in cell B8. The timestamp is then analyzed and results presented in cells B9 and B10.
Useful time calculator link: </t>
  </si>
  <si>
    <t>http://www.epochconverter.com</t>
  </si>
  <si>
    <t>Daylight Savings Time Calculator</t>
  </si>
  <si>
    <t>From: LocalTimeParameters</t>
  </si>
  <si>
    <t>Paste value</t>
  </si>
  <si>
    <t>XML File Tags</t>
  </si>
  <si>
    <t xml:space="preserve">                        &lt;dstEndRule&gt;B40E2000&lt;/dstEndRule&gt;</t>
  </si>
  <si>
    <t>B40E2000</t>
  </si>
  <si>
    <t>espi:dstEndRule</t>
  </si>
  <si>
    <t xml:space="preserve">                        &lt;dstOffset&gt;3600&lt;/dstOffset&gt;</t>
  </si>
  <si>
    <t>3600</t>
  </si>
  <si>
    <t>espi:dstOffset</t>
  </si>
  <si>
    <t xml:space="preserve">                        &lt;dstStartRule&gt;360E2000&lt;/dstStartRule&gt;</t>
  </si>
  <si>
    <t>espi:dstStartRule</t>
  </si>
  <si>
    <t xml:space="preserve">                        &lt;tzOffset&gt;-18000&lt;/tzOffset&gt;</t>
  </si>
  <si>
    <t>espi:tzOffset</t>
  </si>
  <si>
    <t>Test Timestamp from Green Button File</t>
  </si>
  <si>
    <t>espi:start</t>
  </si>
  <si>
    <t xml:space="preserve">Universal Time Calculator </t>
  </si>
  <si>
    <t>==&gt; converted to Universal Time GMT</t>
  </si>
  <si>
    <t>==&gt; converted to Local Time</t>
  </si>
  <si>
    <t>==&gt; converted to Start of DST in Local Time (spring forward)</t>
  </si>
  <si>
    <t>==&gt; converted to End of DST in Local Time (fall backward)</t>
  </si>
  <si>
    <t>seconds since 1/1/1970 00:00:00 to date-time (no time zone or DST)</t>
  </si>
  <si>
    <t>Test year to compute DST start and end</t>
  </si>
  <si>
    <t>==&gt; DST Start for test timestamp</t>
  </si>
  <si>
    <t>==&gt; DST End for test timestamp</t>
  </si>
  <si>
    <t>-18000</t>
  </si>
  <si>
    <t>360E2000</t>
  </si>
  <si>
    <t xml:space="preserve">Date-time (no time zone or DST) to seconds since 1/1/1970 00:00:00 </t>
  </si>
  <si>
    <t>Convert a Local Time to UTC (enter as text)</t>
  </si>
  <si>
    <t>Convert a UTC Time to Local Time (enter as text)</t>
  </si>
  <si>
    <t>1333252800</t>
  </si>
  <si>
    <t>2014-03-02T00:00:01</t>
  </si>
  <si>
    <t xml:space="preserve">2014-05-23T11:00:00 </t>
  </si>
  <si>
    <t>2014-05-23T18:48:20Z</t>
  </si>
  <si>
    <t>Version 0.7.20140523</t>
  </si>
  <si>
    <t>Date: 23 May 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</si>
</sst>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F400]h:mm:ss\ AM/PM"/>
    <numFmt numFmtId="165" formatCode="yyyy\-mm\-dd\Thh:mm:ss\Z"/>
    <numFmt numFmtId="166" formatCode="yyyy\-mm\-dd\Thh:mm:ss"/>
  </numFmts>
  <fonts count="10" x14ac:knownFonts="1">
    <font>
      <sz val="11"/>
      <color theme="1"/>
      <name val="Calibri"/>
      <family val="2"/>
      <scheme val="minor"/>
    </font>
    <font>
      <sz val="11"/>
      <color theme="1"/>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theme="0"/>
      <name val="Calibri"/>
      <family val="2"/>
      <scheme val="minor"/>
    </font>
    <font>
      <b/>
      <sz val="14"/>
      <color theme="1"/>
      <name val="Calibri"/>
      <family val="2"/>
      <scheme val="minor"/>
    </font>
    <font>
      <u/>
      <sz val="11"/>
      <color theme="10"/>
      <name val="Calibri"/>
      <family val="2"/>
      <scheme val="minor"/>
    </font>
    <font>
      <b/>
      <sz val="22"/>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C6EFCE"/>
      </patternFill>
    </fill>
    <fill>
      <patternFill patternType="solid">
        <fgColor rgb="FFFFEB9C"/>
      </patternFill>
    </fill>
    <fill>
      <patternFill patternType="solid">
        <fgColor rgb="FFFFCC99"/>
      </patternFill>
    </fill>
    <fill>
      <patternFill patternType="solid">
        <fgColor theme="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2" fillId="2" borderId="0" applyNumberFormat="0" applyBorder="0" applyAlignment="0" applyProtection="0"/>
    <xf numFmtId="0" fontId="3" fillId="3" borderId="0" applyNumberFormat="0" applyBorder="0" applyAlignment="0" applyProtection="0"/>
    <xf numFmtId="0" fontId="5" fillId="5" borderId="0" applyNumberFormat="0" applyBorder="0" applyAlignment="0" applyProtection="0"/>
    <xf numFmtId="164" fontId="7" fillId="0" borderId="0" applyNumberFormat="0" applyFill="0" applyBorder="0" applyAlignment="0" applyProtection="0"/>
    <xf numFmtId="0" fontId="4" fillId="4" borderId="1" applyNumberFormat="0" applyAlignment="0" applyProtection="0"/>
    <xf numFmtId="0" fontId="1" fillId="0" borderId="0"/>
  </cellStyleXfs>
  <cellXfs count="25">
    <xf numFmtId="0" fontId="0" fillId="0" borderId="0" xfId="0"/>
    <xf numFmtId="0" fontId="6" fillId="0" borderId="0" xfId="0" applyFont="1" applyAlignment="1">
      <alignment wrapText="1"/>
    </xf>
    <xf numFmtId="0" fontId="0" fillId="0" borderId="0" xfId="0" applyAlignment="1">
      <alignment vertical="top" wrapText="1"/>
    </xf>
    <xf numFmtId="0" fontId="0" fillId="0" borderId="0" xfId="0" applyAlignment="1">
      <alignment wrapText="1"/>
    </xf>
    <xf numFmtId="164" fontId="7" fillId="0" borderId="0" xfId="4" applyAlignment="1">
      <alignment wrapText="1"/>
    </xf>
    <xf numFmtId="0" fontId="8" fillId="0" borderId="0" xfId="0" applyFont="1"/>
    <xf numFmtId="49" fontId="0" fillId="0" borderId="0" xfId="0" applyNumberFormat="1"/>
    <xf numFmtId="164" fontId="3" fillId="3" borderId="0" xfId="2" applyNumberFormat="1"/>
    <xf numFmtId="49" fontId="4" fillId="4" borderId="1" xfId="5" applyNumberFormat="1"/>
    <xf numFmtId="164" fontId="3" fillId="3" borderId="0" xfId="2" applyNumberFormat="1" applyBorder="1"/>
    <xf numFmtId="1" fontId="4" fillId="4" borderId="1" xfId="5" applyNumberFormat="1" applyAlignment="1">
      <alignment wrapText="1"/>
    </xf>
    <xf numFmtId="49" fontId="5" fillId="5" borderId="0" xfId="3" applyNumberFormat="1"/>
    <xf numFmtId="0" fontId="0" fillId="0" borderId="0" xfId="6" applyFont="1"/>
    <xf numFmtId="1" fontId="2" fillId="2" borderId="1" xfId="1" applyNumberFormat="1" applyBorder="1"/>
    <xf numFmtId="1" fontId="4" fillId="4" borderId="1" xfId="5" applyNumberFormat="1"/>
    <xf numFmtId="1" fontId="2" fillId="2" borderId="0" xfId="1" applyNumberFormat="1"/>
    <xf numFmtId="164" fontId="3" fillId="3" borderId="0" xfId="2" quotePrefix="1" applyNumberFormat="1" applyBorder="1"/>
    <xf numFmtId="0" fontId="0" fillId="0" borderId="0" xfId="6" quotePrefix="1" applyFont="1"/>
    <xf numFmtId="165" fontId="2" fillId="2" borderId="1" xfId="1" applyNumberFormat="1" applyBorder="1" applyAlignment="1">
      <alignment horizontal="left"/>
    </xf>
    <xf numFmtId="166" fontId="2" fillId="2" borderId="1" xfId="1" applyNumberFormat="1" applyBorder="1" applyAlignment="1">
      <alignment horizontal="left"/>
    </xf>
    <xf numFmtId="2" fontId="0" fillId="0" borderId="0" xfId="0" applyNumberFormat="1"/>
    <xf numFmtId="164" fontId="9" fillId="5" borderId="0" xfId="3" applyNumberFormat="1" applyFont="1"/>
    <xf numFmtId="164" fontId="0" fillId="0" borderId="0" xfId="0" applyNumberFormat="1"/>
    <xf numFmtId="49" fontId="4" fillId="4" borderId="1" xfId="5" applyNumberFormat="1" applyAlignment="1">
      <alignment horizontal="left"/>
    </xf>
    <xf numFmtId="166" fontId="4" fillId="4" borderId="1" xfId="5" quotePrefix="1" applyNumberFormat="1" applyAlignment="1">
      <alignment horizontal="left"/>
    </xf>
  </cellXfs>
  <cellStyles count="7">
    <cellStyle name="Accent6" xfId="3" builtinId="49"/>
    <cellStyle name="Good" xfId="1" builtinId="26"/>
    <cellStyle name="Hyperlink" xfId="4" builtinId="8"/>
    <cellStyle name="Input 2" xfId="5"/>
    <cellStyle name="Neutral" xfId="2" builtinId="28"/>
    <cellStyle name="Normal" xfId="0" builtinId="0"/>
    <cellStyle name="Normal 2"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epochconverter.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
  <sheetViews>
    <sheetView workbookViewId="0">
      <selection activeCell="A10" sqref="A10"/>
    </sheetView>
  </sheetViews>
  <sheetFormatPr defaultRowHeight="15" x14ac:dyDescent="0.25"/>
  <cols>
    <col min="1" max="1" width="119.5703125" customWidth="1"/>
  </cols>
  <sheetData>
    <row r="1" spans="1:1" ht="18.75" x14ac:dyDescent="0.3">
      <c r="A1" s="1" t="s">
        <v>0</v>
      </c>
    </row>
    <row r="2" spans="1:1" ht="18.75" x14ac:dyDescent="0.3">
      <c r="A2" s="1" t="s">
        <v>38</v>
      </c>
    </row>
    <row r="3" spans="1:1" ht="18.75" x14ac:dyDescent="0.3">
      <c r="A3" s="1" t="s">
        <v>39</v>
      </c>
    </row>
    <row r="4" spans="1:1" ht="18.75" x14ac:dyDescent="0.3">
      <c r="A4" s="1" t="s">
        <v>1</v>
      </c>
    </row>
    <row r="5" spans="1:1" x14ac:dyDescent="0.25">
      <c r="A5" s="2"/>
    </row>
    <row r="6" spans="1:1" ht="120" x14ac:dyDescent="0.25">
      <c r="A6" s="3" t="s">
        <v>2</v>
      </c>
    </row>
    <row r="7" spans="1:1" x14ac:dyDescent="0.25">
      <c r="A7" s="4" t="s">
        <v>3</v>
      </c>
    </row>
  </sheetData>
  <hyperlinks>
    <hyperlink ref="A7"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2"/>
  <sheetViews>
    <sheetView tabSelected="1" workbookViewId="0">
      <selection activeCell="A22" sqref="A22:D22"/>
    </sheetView>
  </sheetViews>
  <sheetFormatPr defaultRowHeight="15" x14ac:dyDescent="0.25"/>
  <cols>
    <col min="1" max="1" width="64.5703125" bestFit="1" customWidth="1"/>
    <col min="2" max="2" width="19.85546875" bestFit="1" customWidth="1"/>
    <col min="3" max="3" width="16.28515625" bestFit="1" customWidth="1"/>
    <col min="4" max="4" width="19.85546875" bestFit="1" customWidth="1"/>
    <col min="5" max="5" width="13.7109375" bestFit="1" customWidth="1"/>
    <col min="6" max="6" width="11" bestFit="1" customWidth="1"/>
  </cols>
  <sheetData>
    <row r="1" spans="1:5" ht="28.5" x14ac:dyDescent="0.45">
      <c r="A1" s="5" t="s">
        <v>4</v>
      </c>
      <c r="B1" s="22" t="str">
        <f>Overview!A2</f>
        <v>Version 0.7.20140523</v>
      </c>
      <c r="C1" s="6"/>
      <c r="D1" s="6"/>
    </row>
    <row r="2" spans="1:5" x14ac:dyDescent="0.25">
      <c r="A2" s="21" t="s">
        <v>5</v>
      </c>
      <c r="B2" s="21" t="s">
        <v>6</v>
      </c>
      <c r="C2" s="21" t="s">
        <v>7</v>
      </c>
      <c r="E2" s="20"/>
    </row>
    <row r="3" spans="1:5" x14ac:dyDescent="0.25">
      <c r="A3" s="7" t="s">
        <v>8</v>
      </c>
      <c r="B3" s="8" t="s">
        <v>9</v>
      </c>
      <c r="C3" s="6" t="s">
        <v>10</v>
      </c>
      <c r="E3" s="6"/>
    </row>
    <row r="4" spans="1:5" x14ac:dyDescent="0.25">
      <c r="A4" s="7" t="s">
        <v>11</v>
      </c>
      <c r="B4" s="8" t="s">
        <v>12</v>
      </c>
      <c r="C4" s="6" t="s">
        <v>13</v>
      </c>
    </row>
    <row r="5" spans="1:5" x14ac:dyDescent="0.25">
      <c r="A5" s="7" t="s">
        <v>14</v>
      </c>
      <c r="B5" s="8" t="s">
        <v>30</v>
      </c>
      <c r="C5" s="6" t="s">
        <v>15</v>
      </c>
    </row>
    <row r="6" spans="1:5" x14ac:dyDescent="0.25">
      <c r="A6" s="7" t="s">
        <v>16</v>
      </c>
      <c r="B6" s="8" t="s">
        <v>29</v>
      </c>
      <c r="C6" s="6" t="s">
        <v>17</v>
      </c>
    </row>
    <row r="7" spans="1:5" x14ac:dyDescent="0.25">
      <c r="C7" s="6"/>
    </row>
    <row r="8" spans="1:5" x14ac:dyDescent="0.25">
      <c r="A8" s="9" t="s">
        <v>18</v>
      </c>
      <c r="B8" s="10">
        <v>1393718401</v>
      </c>
      <c r="C8" s="6" t="s">
        <v>19</v>
      </c>
    </row>
    <row r="9" spans="1:5" x14ac:dyDescent="0.25">
      <c r="A9" s="16" t="s">
        <v>21</v>
      </c>
      <c r="B9" s="18">
        <f>(B8)/(60*60*24)+"1/1/1970"</f>
        <v>41700.000011574077</v>
      </c>
    </row>
    <row r="10" spans="1:5" x14ac:dyDescent="0.25">
      <c r="A10" s="16" t="s">
        <v>22</v>
      </c>
      <c r="B10" s="19">
        <f>UnixToDate(UTCTimeToLocalTimeCell(B8,B5,B3,B6,B4))</f>
        <v>41699.791678240741</v>
      </c>
    </row>
    <row r="11" spans="1:5" x14ac:dyDescent="0.25">
      <c r="A11" s="16" t="s">
        <v>27</v>
      </c>
      <c r="B11" s="19">
        <f>GetDSTStartTime(YEAR(UnixToDate(B8+0*(B4+B6+0*HEX2DEC(B3)+0*HEX2DEC(B5)))),B5,B3)</f>
        <v>41707.083333333336</v>
      </c>
      <c r="C11" s="6"/>
      <c r="D11" s="6"/>
    </row>
    <row r="12" spans="1:5" x14ac:dyDescent="0.25">
      <c r="A12" s="16" t="s">
        <v>28</v>
      </c>
      <c r="B12" s="19">
        <f>GetDSTEndTime(YEAR(UnixToDate(B8)),B5,B3)</f>
        <v>41945.083333333336</v>
      </c>
      <c r="C12" s="6"/>
      <c r="D12" s="6"/>
    </row>
    <row r="13" spans="1:5" x14ac:dyDescent="0.25">
      <c r="B13" s="6"/>
      <c r="C13" s="6"/>
      <c r="D13" s="6"/>
    </row>
    <row r="14" spans="1:5" x14ac:dyDescent="0.25">
      <c r="B14" s="6"/>
      <c r="C14" s="6"/>
      <c r="D14" s="6"/>
    </row>
    <row r="15" spans="1:5" x14ac:dyDescent="0.25">
      <c r="A15" s="21" t="s">
        <v>20</v>
      </c>
      <c r="B15" s="11"/>
      <c r="C15" s="11"/>
      <c r="D15" s="11"/>
    </row>
    <row r="16" spans="1:5" x14ac:dyDescent="0.25">
      <c r="A16" s="12" t="s">
        <v>25</v>
      </c>
      <c r="B16" s="23" t="s">
        <v>34</v>
      </c>
      <c r="C16" s="6"/>
      <c r="D16" s="19">
        <f>(B16)/(60*60*24)+"1/1/1970"</f>
        <v>41000.166666666664</v>
      </c>
    </row>
    <row r="17" spans="1:4" x14ac:dyDescent="0.25">
      <c r="A17" s="12" t="s">
        <v>31</v>
      </c>
      <c r="B17" s="24" t="s">
        <v>35</v>
      </c>
      <c r="C17" s="6"/>
      <c r="D17" s="13">
        <f>DateToUnix((((DATEVALUE(SUBSTITUTE(B17,"T"," "))++ TIMEVALUE(SUBSTITUTE(B17,"T"," "))))))</f>
        <v>1393718401</v>
      </c>
    </row>
    <row r="18" spans="1:4" x14ac:dyDescent="0.25">
      <c r="A18" s="12" t="s">
        <v>26</v>
      </c>
      <c r="B18" s="14">
        <v>2014</v>
      </c>
      <c r="C18" s="6"/>
    </row>
    <row r="19" spans="1:4" x14ac:dyDescent="0.25">
      <c r="A19" s="17" t="s">
        <v>23</v>
      </c>
      <c r="C19" s="6"/>
      <c r="D19" s="19">
        <f>GetDSTStartTime(B18,B5,B3)</f>
        <v>41707.083333333336</v>
      </c>
    </row>
    <row r="20" spans="1:4" x14ac:dyDescent="0.25">
      <c r="A20" s="17" t="s">
        <v>24</v>
      </c>
      <c r="C20" s="6"/>
      <c r="D20" s="19">
        <f>GetDSTEndTime(B18,B5,B3)</f>
        <v>41945.083333333336</v>
      </c>
    </row>
    <row r="21" spans="1:4" x14ac:dyDescent="0.25">
      <c r="A21" t="s">
        <v>32</v>
      </c>
      <c r="B21" s="23" t="s">
        <v>36</v>
      </c>
      <c r="C21" s="15">
        <f>LocalTimeToUTCTimeCell(DateToUnix(DATEVALUE(SUBSTITUTE(B21,"T"," "))+ TIMEVALUE(SUBSTITUTE(B21,"T"," "))),B5,B3,B6,B4)</f>
        <v>1400857200</v>
      </c>
      <c r="D21" s="18">
        <f>UnixToDate(C21)</f>
        <v>41782.625</v>
      </c>
    </row>
    <row r="22" spans="1:4" x14ac:dyDescent="0.25">
      <c r="A22" t="s">
        <v>33</v>
      </c>
      <c r="B22" s="23" t="s">
        <v>37</v>
      </c>
      <c r="C22" s="15">
        <f>UTCTimeToLocalTimeCell(DateToUnix(SUBSTITUTE(SUBSTITUTE(B22,"T"," "),"Z"," ")),B5,B3,B6,B4)</f>
        <v>1400856500</v>
      </c>
      <c r="D22" s="19">
        <f>UnixToDate(C22)</f>
        <v>41782.616898148146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Overview</vt:lpstr>
      <vt:lpstr>UnviersalTimeDataConverter</vt:lpstr>
      <vt:lpstr>Sheet3</vt:lpstr>
    </vt:vector>
  </TitlesOfParts>
  <Company>Hypertek,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2014-05-16T19:06:00Z</dcterms:created>
  <dcterms:modified xsi:type="dcterms:W3CDTF">2014-05-23T19:35:11Z</dcterms:modified>
</cp:coreProperties>
</file>