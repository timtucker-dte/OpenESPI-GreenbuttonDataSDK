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200" yWindow="30" windowWidth="25215" windowHeight="13665" activeTab="1"/>
  </bookViews>
  <sheets>
    <sheet name="Overview" sheetId="2" r:id="rId1"/>
    <sheet name="DSTRuleCalculator" sheetId="3" r:id="rId2"/>
    <sheet name="Sheet1" sheetId="5" r:id="rId3"/>
  </sheets>
  <functionGroups builtInGroupCount="17"/>
  <definedNames>
    <definedName name="ACCUMULATION_BEHAVIOR">#REF!</definedName>
    <definedName name="ADDITIONAL_CHARGES">#REF!</definedName>
    <definedName name="BASE_COST">#REF!</definedName>
    <definedName name="BASE_COST_B">#REF!</definedName>
    <definedName name="BATCH_INDEX">#REF!</definedName>
    <definedName name="BLOCK_DURATION">#REF!</definedName>
    <definedName name="BULK_FILE_NAME">#REF!</definedName>
    <definedName name="COMMODITY">#REF!</definedName>
    <definedName name="CUSTOMER_TITLE">#REF!</definedName>
    <definedName name="CUSTOMER_URL">#REF!</definedName>
    <definedName name="DATA_QUALIFIER">#REF!</definedName>
    <definedName name="DISABLE_COST">#REF!</definedName>
    <definedName name="DO_RANDOMIZE">#REF!</definedName>
    <definedName name="DST_END_RULE">#REF!</definedName>
    <definedName name="DST_OFFSET">#REF!</definedName>
    <definedName name="DST_START_RULE">#REF!</definedName>
    <definedName name="DURATION_OF_LAST_BILLING_PERIOD">#REF!</definedName>
    <definedName name="END_OF_BILLING_PERIOD">#REF!</definedName>
    <definedName name="END_OF_SIMULATION">#REF!</definedName>
    <definedName name="EXTERNAL_DATA_FNAME">#REF!</definedName>
    <definedName name="FLOW_DIRECTION">#REF!</definedName>
    <definedName name="GENERATE_BULK_DATA">#REF!</definedName>
    <definedName name="INCLUDE_HEADER_COMMENT">#REF!</definedName>
    <definedName name="INCLUDE_IN_SIM">#REF!</definedName>
    <definedName name="INTERVAL_BLOCK_INDEX">#REF!</definedName>
    <definedName name="INTERVAL_DURATION">#REF!</definedName>
    <definedName name="KIND">#REF!</definedName>
    <definedName name="LOCAL_TIME_INDEX">#REF!</definedName>
    <definedName name="METER_READING_INDEX">#REF!</definedName>
    <definedName name="METER_READING_TITLE">#REF!</definedName>
    <definedName name="MeterReadingIndex">#REF!</definedName>
    <definedName name="NUMBER_BULK_ITERATIONS">#REF!</definedName>
    <definedName name="OUTPUT_FILENAME">#REF!</definedName>
    <definedName name="PHASE">#REF!</definedName>
    <definedName name="POWER_OF_TEN_MULTIPLIER">#REF!</definedName>
    <definedName name="POWER_OF_TEN_MULTIPLIER_B">#REF!</definedName>
    <definedName name="PUBLISH_DATE">#REF!</definedName>
    <definedName name="RANDOM_URN">#REF!</definedName>
    <definedName name="RAW_INTERVAL_DATA_MULTIPLIER">#REF!</definedName>
    <definedName name="READING_TYPE_INDEX">#REF!</definedName>
    <definedName name="RUN_STATUS">#REF!</definedName>
    <definedName name="SERVICE_KIND">#REF!</definedName>
    <definedName name="START_OF_BILLING_PERIOD">#REF!</definedName>
    <definedName name="START_OF_SIMULATION">#REF!</definedName>
    <definedName name="START_USAGE_WEEKDAY">#REF!</definedName>
    <definedName name="STRTOUX_IN">#REF!</definedName>
    <definedName name="STRTOUX_OUT">#REF!</definedName>
    <definedName name="TARIFF_MODEL">#REF!</definedName>
    <definedName name="TARIFF_MODEL_NAME">#REF!</definedName>
    <definedName name="TIME_ATTRIBUTE">#REF!</definedName>
    <definedName name="TIMZONE_OFFSET">#REF!</definedName>
    <definedName name="TIMZONE_TITLE">#REF!</definedName>
    <definedName name="TOTAL_BILL_LAST_BILLING_PERIOD">#REF!</definedName>
    <definedName name="TOTAL_COST_CURRENT_PERIOD">#REF!</definedName>
    <definedName name="TOTAL_COST_USAGE_BILLING_PERIOD">#REF!</definedName>
    <definedName name="TOTAL_USAGE_BILLING_PERIOD">#REF!</definedName>
    <definedName name="TOTAL_USAGE_CURRENT_PERIOD">#REF!</definedName>
    <definedName name="TYPICAL_USAGE">#REF!</definedName>
    <definedName name="TYPICAL_USAGE_A">#REF!</definedName>
    <definedName name="TYPICAL_USAGE_B">#REF!</definedName>
    <definedName name="UOM">#REF!</definedName>
    <definedName name="UPDATE_DATE">#REF!</definedName>
    <definedName name="USAGE_POINT_INDEX">#REF!</definedName>
    <definedName name="USAGE_SUMMARY_INDEX">#REF!</definedName>
    <definedName name="UXTOSTR_IN">#REF!</definedName>
    <definedName name="UXTOSTR_OUT">#REF!</definedName>
    <definedName name="VARY_RETAIL_CUSTOMER_ID">#REF!</definedName>
    <definedName name="VARY_USAGEPOINT_ID">#REF!</definedName>
    <definedName name="WORKSHEET_FOR_WEIGHTING">#REF!</definedName>
  </definedNames>
  <calcPr calcId="145621"/>
</workbook>
</file>

<file path=xl/calcChain.xml><?xml version="1.0" encoding="utf-8"?>
<calcChain xmlns="http://schemas.openxmlformats.org/spreadsheetml/2006/main">
  <c r="D25" i="3" l="1"/>
  <c r="D22" i="3" l="1"/>
  <c r="C27" i="3"/>
  <c r="B10" i="3"/>
  <c r="B9" i="3" l="1"/>
  <c r="D21" i="3"/>
  <c r="C26" i="3"/>
  <c r="D24" i="3"/>
  <c r="D27" i="3"/>
  <c r="D26" i="3"/>
</calcChain>
</file>

<file path=xl/sharedStrings.xml><?xml version="1.0" encoding="utf-8"?>
<sst xmlns="http://schemas.openxmlformats.org/spreadsheetml/2006/main" count="28" uniqueCount="28">
  <si>
    <t>Authors: Marty Burns, Ron Pasquarelli</t>
  </si>
  <si>
    <t>B40E2000</t>
  </si>
  <si>
    <t>Local Time to UTC</t>
  </si>
  <si>
    <t>UTC Time to Local Time</t>
  </si>
  <si>
    <t xml:space="preserve">Universal Time Calculator </t>
  </si>
  <si>
    <t>UTC to date-time (no time zone or DST)</t>
  </si>
  <si>
    <t>Date-time to UTC (no time zone or DST)</t>
  </si>
  <si>
    <t>-18000</t>
  </si>
  <si>
    <t>3600</t>
  </si>
  <si>
    <t>Test Year</t>
  </si>
  <si>
    <t>Start of DST in Local Time</t>
  </si>
  <si>
    <t>End of DST in Local Time</t>
  </si>
  <si>
    <t xml:space="preserve">                        &lt;dstEndRule&gt;B40E2000&lt;/dstEndRule&gt;</t>
  </si>
  <si>
    <t xml:space="preserve">                        &lt;dstOffset&gt;3600&lt;/dstOffset&gt;</t>
  </si>
  <si>
    <t xml:space="preserve">                        &lt;dstStartRule&gt;360E2000&lt;/dstStartRule&gt;</t>
  </si>
  <si>
    <t xml:space="preserve">                        &lt;tzOffset&gt;-18000&lt;/tzOffset&gt;</t>
  </si>
  <si>
    <t>Daylight Savings Time Calculator</t>
  </si>
  <si>
    <t>From: LocalTimeParameters</t>
  </si>
  <si>
    <t>Paste value</t>
  </si>
  <si>
    <t>Local Time</t>
  </si>
  <si>
    <t>Universal Time GMT</t>
  </si>
  <si>
    <t>Test Timestamp from Green Button File</t>
  </si>
  <si>
    <t>Time Tester for Green Button Based on LocalTimeParamters</t>
  </si>
  <si>
    <t>Version 0.7.20140328</t>
  </si>
  <si>
    <t>Date: 28 March 2014</t>
  </si>
  <si>
    <t xml:space="preserve">360E2000 </t>
  </si>
  <si>
    <t>http://www.epochconverter.com</t>
  </si>
  <si>
    <t xml:space="preserve">This spreadsheet is designed to generate allow for timestamp test cases for Green Button Data. 
To use this tool, inspect the LocalTimeParameters Resource and enter the values into the DSTRuleCalculator tab.
Copy and Paste the timestamp from XML Green Button File to test in cell B8. The timestamp is then analyzed and results presented in cells B9 and B10.
Useful time calculator link: </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</si>
</sst>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F400]h:mm:ss\ AM/PM"/>
    <numFmt numFmtId="165" formatCode="mm/dd/yyyy\ hh:mm:ss"/>
  </numFmts>
  <fonts count="10" x14ac:knownFonts="1">
    <font>
      <sz val="11"/>
      <color theme="1"/>
      <name val="Calibri"/>
      <family val="2"/>
      <scheme val="minor"/>
    </font>
    <font>
      <sz val="11"/>
      <color rgb="FF3F3F76"/>
      <name val="Calibri"/>
      <family val="2"/>
      <scheme val="minor"/>
    </font>
    <font>
      <sz val="11"/>
      <color theme="0"/>
      <name val="Calibri"/>
      <family val="2"/>
      <scheme val="minor"/>
    </font>
    <font>
      <sz val="11"/>
      <color theme="1"/>
      <name val="Calibri"/>
      <family val="2"/>
      <scheme val="minor"/>
    </font>
    <font>
      <b/>
      <sz val="14"/>
      <color theme="1"/>
      <name val="Calibri"/>
      <family val="2"/>
      <scheme val="minor"/>
    </font>
    <font>
      <b/>
      <sz val="11"/>
      <color theme="1"/>
      <name val="Calibri"/>
      <family val="2"/>
      <scheme val="minor"/>
    </font>
    <font>
      <sz val="11"/>
      <color rgb="FF006100"/>
      <name val="Calibri"/>
      <family val="2"/>
      <scheme val="minor"/>
    </font>
    <font>
      <sz val="11"/>
      <color rgb="FF9C6500"/>
      <name val="Calibri"/>
      <family val="2"/>
      <scheme val="minor"/>
    </font>
    <font>
      <b/>
      <sz val="22"/>
      <color theme="1"/>
      <name val="Calibri"/>
      <family val="2"/>
      <scheme val="minor"/>
    </font>
    <font>
      <u/>
      <sz val="11"/>
      <color theme="10"/>
      <name val="Calibri"/>
      <family val="2"/>
      <scheme val="minor"/>
    </font>
  </fonts>
  <fills count="6">
    <fill>
      <patternFill patternType="none"/>
    </fill>
    <fill>
      <patternFill patternType="gray125"/>
    </fill>
    <fill>
      <patternFill patternType="solid">
        <fgColor rgb="FFFFCC99"/>
      </patternFill>
    </fill>
    <fill>
      <patternFill patternType="solid">
        <fgColor rgb="FFC6EFCE"/>
      </patternFill>
    </fill>
    <fill>
      <patternFill patternType="solid">
        <fgColor theme="9"/>
      </patternFill>
    </fill>
    <fill>
      <patternFill patternType="solid">
        <fgColor rgb="FFFFEB9C"/>
      </patternFill>
    </fill>
  </fills>
  <borders count="2">
    <border>
      <left/>
      <right/>
      <top/>
      <bottom/>
      <diagonal/>
    </border>
    <border>
      <left style="thin">
        <color rgb="FF7F7F7F"/>
      </left>
      <right style="thin">
        <color rgb="FF7F7F7F"/>
      </right>
      <top style="thin">
        <color rgb="FF7F7F7F"/>
      </top>
      <bottom style="thin">
        <color rgb="FF7F7F7F"/>
      </bottom>
      <diagonal/>
    </border>
  </borders>
  <cellStyleXfs count="9">
    <xf numFmtId="164" fontId="0" fillId="0" borderId="0"/>
    <xf numFmtId="0" fontId="6" fillId="3" borderId="0" applyNumberFormat="0" applyBorder="0" applyAlignment="0" applyProtection="0"/>
    <xf numFmtId="0" fontId="3" fillId="0" borderId="0"/>
    <xf numFmtId="0" fontId="3" fillId="0" borderId="0"/>
    <xf numFmtId="0" fontId="1" fillId="2" borderId="1" applyNumberFormat="0" applyAlignment="0" applyProtection="0"/>
    <xf numFmtId="0" fontId="3" fillId="0" borderId="0"/>
    <xf numFmtId="0" fontId="2" fillId="4" borderId="0" applyNumberFormat="0" applyBorder="0" applyAlignment="0" applyProtection="0"/>
    <xf numFmtId="0" fontId="7" fillId="5" borderId="0" applyNumberFormat="0" applyBorder="0" applyAlignment="0" applyProtection="0"/>
    <xf numFmtId="164" fontId="9" fillId="0" borderId="0" applyNumberFormat="0" applyFill="0" applyBorder="0" applyAlignment="0" applyProtection="0"/>
  </cellStyleXfs>
  <cellXfs count="23">
    <xf numFmtId="164" fontId="0" fillId="0" borderId="0" xfId="0"/>
    <xf numFmtId="164" fontId="0" fillId="0" borderId="0" xfId="0" applyAlignment="1">
      <alignment wrapText="1"/>
    </xf>
    <xf numFmtId="164" fontId="0" fillId="0" borderId="0" xfId="0" applyAlignment="1">
      <alignment vertical="top"/>
    </xf>
    <xf numFmtId="164" fontId="0" fillId="0" borderId="0" xfId="0" applyAlignment="1">
      <alignment vertical="top" wrapText="1"/>
    </xf>
    <xf numFmtId="164" fontId="4" fillId="0" borderId="0" xfId="0" applyFont="1" applyAlignment="1">
      <alignment wrapText="1"/>
    </xf>
    <xf numFmtId="164" fontId="5" fillId="0" borderId="0" xfId="0" applyFont="1" applyAlignment="1">
      <alignment wrapText="1"/>
    </xf>
    <xf numFmtId="49" fontId="0" fillId="0" borderId="0" xfId="0" applyNumberFormat="1"/>
    <xf numFmtId="49" fontId="2" fillId="4" borderId="0" xfId="6" applyNumberFormat="1"/>
    <xf numFmtId="164" fontId="2" fillId="4" borderId="0" xfId="6" applyNumberFormat="1"/>
    <xf numFmtId="1" fontId="1" fillId="2" borderId="1" xfId="4" applyNumberFormat="1"/>
    <xf numFmtId="1" fontId="6" fillId="3" borderId="0" xfId="1" applyNumberFormat="1"/>
    <xf numFmtId="0" fontId="0" fillId="0" borderId="0" xfId="2" applyFont="1"/>
    <xf numFmtId="0" fontId="0" fillId="0" borderId="0" xfId="0" applyNumberFormat="1"/>
    <xf numFmtId="164" fontId="7" fillId="5" borderId="0" xfId="7" applyNumberFormat="1"/>
    <xf numFmtId="49" fontId="1" fillId="2" borderId="1" xfId="4" applyNumberFormat="1"/>
    <xf numFmtId="164" fontId="6" fillId="3" borderId="0" xfId="1" applyNumberFormat="1"/>
    <xf numFmtId="164" fontId="8" fillId="0" borderId="0" xfId="0" applyFont="1"/>
    <xf numFmtId="165" fontId="1" fillId="2" borderId="1" xfId="4" applyNumberFormat="1"/>
    <xf numFmtId="165" fontId="6" fillId="3" borderId="1" xfId="1" applyNumberFormat="1" applyBorder="1"/>
    <xf numFmtId="1" fontId="6" fillId="3" borderId="1" xfId="1" applyNumberFormat="1" applyBorder="1"/>
    <xf numFmtId="164" fontId="7" fillId="5" borderId="0" xfId="7" applyNumberFormat="1" applyBorder="1"/>
    <xf numFmtId="1" fontId="1" fillId="2" borderId="1" xfId="4" applyNumberFormat="1" applyAlignment="1">
      <alignment wrapText="1"/>
    </xf>
    <xf numFmtId="164" fontId="9" fillId="0" borderId="0" xfId="8" applyAlignment="1">
      <alignment wrapText="1"/>
    </xf>
  </cellXfs>
  <cellStyles count="9">
    <cellStyle name="Accent6" xfId="6" builtinId="49"/>
    <cellStyle name="Good" xfId="1" builtinId="26"/>
    <cellStyle name="Hyperlink" xfId="8" builtinId="8"/>
    <cellStyle name="Input 2" xfId="4"/>
    <cellStyle name="Neutral" xfId="7" builtinId="28"/>
    <cellStyle name="Normal" xfId="0" builtinId="0"/>
    <cellStyle name="Normal 2" xfId="2"/>
    <cellStyle name="Normal 3" xfId="3"/>
    <cellStyle name="Normal 4" xfId="5"/>
  </cellStyles>
  <dxfs count="0"/>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hyperlink" Target="http://www.epochconverter.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14"/>
  <sheetViews>
    <sheetView workbookViewId="0">
      <selection activeCell="A7" sqref="A7"/>
    </sheetView>
  </sheetViews>
  <sheetFormatPr defaultRowHeight="15" x14ac:dyDescent="0.25"/>
  <cols>
    <col min="1" max="1" width="111.140625" style="1" customWidth="1"/>
  </cols>
  <sheetData>
    <row r="1" spans="1:1" ht="18.75" x14ac:dyDescent="0.3">
      <c r="A1" s="4" t="s">
        <v>22</v>
      </c>
    </row>
    <row r="2" spans="1:1" ht="18.75" x14ac:dyDescent="0.3">
      <c r="A2" s="4" t="s">
        <v>23</v>
      </c>
    </row>
    <row r="3" spans="1:1" ht="18.75" x14ac:dyDescent="0.3">
      <c r="A3" s="4" t="s">
        <v>24</v>
      </c>
    </row>
    <row r="4" spans="1:1" ht="18.75" x14ac:dyDescent="0.3">
      <c r="A4" s="4" t="s">
        <v>0</v>
      </c>
    </row>
    <row r="5" spans="1:1" s="2" customFormat="1" x14ac:dyDescent="0.25">
      <c r="A5" s="3"/>
    </row>
    <row r="6" spans="1:1" ht="139.5" customHeight="1" x14ac:dyDescent="0.25">
      <c r="A6" s="1" t="s">
        <v>27</v>
      </c>
    </row>
    <row r="7" spans="1:1" x14ac:dyDescent="0.25">
      <c r="A7" s="22" t="s">
        <v>26</v>
      </c>
    </row>
    <row r="8" spans="1:1" x14ac:dyDescent="0.25">
      <c r="A8" s="5"/>
    </row>
    <row r="11" spans="1:1" x14ac:dyDescent="0.25">
      <c r="A11" s="5"/>
    </row>
    <row r="14" spans="1:1" x14ac:dyDescent="0.25">
      <c r="A14" s="5"/>
    </row>
  </sheetData>
  <hyperlinks>
    <hyperlink ref="A7"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27"/>
  <sheetViews>
    <sheetView tabSelected="1" workbookViewId="0">
      <selection activeCell="B24" sqref="B24"/>
    </sheetView>
  </sheetViews>
  <sheetFormatPr defaultRowHeight="15" x14ac:dyDescent="0.25"/>
  <cols>
    <col min="1" max="1" width="51.7109375" customWidth="1"/>
    <col min="2" max="2" width="35.28515625" style="6" customWidth="1"/>
    <col min="3" max="3" width="21.85546875" style="6" customWidth="1"/>
    <col min="4" max="4" width="18.140625" style="6" customWidth="1"/>
    <col min="5" max="5" width="37.140625" style="6" customWidth="1"/>
    <col min="6" max="6" width="40.28515625" customWidth="1"/>
    <col min="7" max="7" width="10.5703125" customWidth="1"/>
    <col min="8" max="8" width="10.7109375" customWidth="1"/>
  </cols>
  <sheetData>
    <row r="1" spans="1:5" ht="28.5" x14ac:dyDescent="0.45">
      <c r="A1" s="16" t="s">
        <v>16</v>
      </c>
    </row>
    <row r="2" spans="1:5" x14ac:dyDescent="0.25">
      <c r="A2" s="15" t="s">
        <v>17</v>
      </c>
      <c r="B2" s="15" t="s">
        <v>18</v>
      </c>
      <c r="C2"/>
      <c r="D2"/>
      <c r="E2"/>
    </row>
    <row r="3" spans="1:5" x14ac:dyDescent="0.25">
      <c r="A3" s="13" t="s">
        <v>12</v>
      </c>
      <c r="B3" s="14" t="s">
        <v>1</v>
      </c>
      <c r="C3"/>
      <c r="D3"/>
      <c r="E3"/>
    </row>
    <row r="4" spans="1:5" x14ac:dyDescent="0.25">
      <c r="A4" s="13" t="s">
        <v>13</v>
      </c>
      <c r="B4" s="14" t="s">
        <v>8</v>
      </c>
      <c r="C4"/>
      <c r="D4"/>
      <c r="E4"/>
    </row>
    <row r="5" spans="1:5" x14ac:dyDescent="0.25">
      <c r="A5" s="13" t="s">
        <v>14</v>
      </c>
      <c r="B5" s="14" t="s">
        <v>25</v>
      </c>
      <c r="C5"/>
      <c r="D5"/>
      <c r="E5"/>
    </row>
    <row r="6" spans="1:5" x14ac:dyDescent="0.25">
      <c r="A6" s="13" t="s">
        <v>15</v>
      </c>
      <c r="B6" s="14" t="s">
        <v>7</v>
      </c>
      <c r="C6"/>
      <c r="D6"/>
      <c r="E6"/>
    </row>
    <row r="7" spans="1:5" x14ac:dyDescent="0.25">
      <c r="B7"/>
      <c r="C7"/>
      <c r="D7"/>
      <c r="E7"/>
    </row>
    <row r="8" spans="1:5" x14ac:dyDescent="0.25">
      <c r="A8" s="20" t="s">
        <v>21</v>
      </c>
      <c r="B8" s="21">
        <v>1414908000</v>
      </c>
      <c r="C8"/>
      <c r="D8"/>
      <c r="E8"/>
    </row>
    <row r="9" spans="1:5" x14ac:dyDescent="0.25">
      <c r="A9" s="20" t="s">
        <v>20</v>
      </c>
      <c r="B9" s="17">
        <f>(B8)/(60*60*24)+"1/1/1970"</f>
        <v>41945.25</v>
      </c>
      <c r="C9"/>
      <c r="D9"/>
      <c r="E9"/>
    </row>
    <row r="10" spans="1:5" x14ac:dyDescent="0.25">
      <c r="A10" s="20" t="s">
        <v>19</v>
      </c>
      <c r="B10" s="17">
        <f>UnixToDate(UTCTimeToLocalTimeCell(B8))</f>
        <v>41945.041666666664</v>
      </c>
      <c r="C10"/>
      <c r="D10"/>
      <c r="E10"/>
    </row>
    <row r="20" spans="1:5" x14ac:dyDescent="0.25">
      <c r="A20" s="8" t="s">
        <v>4</v>
      </c>
      <c r="B20" s="7"/>
      <c r="C20" s="7"/>
      <c r="D20" s="7"/>
      <c r="E20"/>
    </row>
    <row r="21" spans="1:5" x14ac:dyDescent="0.25">
      <c r="A21" s="11" t="s">
        <v>5</v>
      </c>
      <c r="B21" s="21">
        <v>1414915204</v>
      </c>
      <c r="D21" s="18">
        <f>(B21)/(60*60*24)+"1/1/1970"</f>
        <v>41945.333379629628</v>
      </c>
      <c r="E21"/>
    </row>
    <row r="22" spans="1:5" x14ac:dyDescent="0.25">
      <c r="A22" s="11" t="s">
        <v>6</v>
      </c>
      <c r="B22" s="17">
        <v>41704.208333333336</v>
      </c>
      <c r="D22" s="19">
        <f>((B22-"1/1/1970")*60*60*24)</f>
        <v>1394082000.0000002</v>
      </c>
      <c r="E22"/>
    </row>
    <row r="23" spans="1:5" x14ac:dyDescent="0.25">
      <c r="A23" s="11" t="s">
        <v>9</v>
      </c>
      <c r="B23" s="9">
        <v>2014</v>
      </c>
      <c r="D23" s="10"/>
      <c r="E23"/>
    </row>
    <row r="24" spans="1:5" x14ac:dyDescent="0.25">
      <c r="A24" s="11" t="s">
        <v>10</v>
      </c>
      <c r="B24"/>
      <c r="D24" s="18">
        <f>GetDSTStartTime(B23)</f>
        <v>41707.083333333336</v>
      </c>
      <c r="E24" s="12"/>
    </row>
    <row r="25" spans="1:5" x14ac:dyDescent="0.25">
      <c r="A25" s="11" t="s">
        <v>11</v>
      </c>
      <c r="B25"/>
      <c r="D25" s="18">
        <f>GetDSTEndTime(B23)</f>
        <v>41945.083333333336</v>
      </c>
      <c r="E25" s="12"/>
    </row>
    <row r="26" spans="1:5" x14ac:dyDescent="0.25">
      <c r="A26" t="s">
        <v>2</v>
      </c>
      <c r="B26" s="17">
        <v>41945.083344907405</v>
      </c>
      <c r="C26" s="10">
        <f>LocalTimeToUTCTimeCell(DateToUnix(B26))</f>
        <v>1414911601</v>
      </c>
      <c r="D26" s="18">
        <f>UnixToDate(C26)</f>
        <v>41945.291678240741</v>
      </c>
      <c r="E26"/>
    </row>
    <row r="27" spans="1:5" x14ac:dyDescent="0.25">
      <c r="A27" t="s">
        <v>3</v>
      </c>
      <c r="B27" s="17">
        <v>41945.291655092595</v>
      </c>
      <c r="C27" s="10">
        <f>UTCTimeToLocalTimeCell(DateToUnix(B27))</f>
        <v>1414893599</v>
      </c>
      <c r="D27" s="18">
        <f>UnixToDate(C27)</f>
        <v>41945.083321759259</v>
      </c>
      <c r="E27"/>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workbookViewId="0">
      <selection sqref="A1:A2"/>
    </sheetView>
  </sheetViews>
  <sheetFormatPr defaultRowHeight="15" x14ac:dyDescent="0.25"/>
  <cols>
    <col min="1" max="1" width="11.5703125" bestFit="1" customWidth="1"/>
  </cols>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Overview</vt:lpstr>
      <vt:lpstr>DSTRuleCalculator</vt:lpstr>
      <vt:lpstr>Sheet1</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Dr. Martin J. Burns</dc:creator>
  <cp:lastModifiedBy>Dr. Martin J. Burns</cp:lastModifiedBy>
  <dcterms:created xsi:type="dcterms:W3CDTF">2006-09-16T00:00:00Z</dcterms:created>
  <dcterms:modified xsi:type="dcterms:W3CDTF">2014-03-29T11:55:54Z</dcterms:modified>
</cp:coreProperties>
</file>